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dan Formula Excel Peramal" sheetId="1" r:id="rId5"/>
  </sheets>
  <definedNames/>
  <calcPr/>
</workbook>
</file>

<file path=xl/sharedStrings.xml><?xml version="1.0" encoding="utf-8"?>
<sst xmlns="http://schemas.openxmlformats.org/spreadsheetml/2006/main" count="35" uniqueCount="33">
  <si>
    <t>Time (A)</t>
  </si>
  <si>
    <t>Observed yt​ (B)</t>
  </si>
  <si>
    <t>Forecast y^​t​ (C)</t>
  </si>
  <si>
    <t>Forecast Error (D)</t>
  </si>
  <si>
    <t>Absolute Error (E)</t>
  </si>
  <si>
    <t>Squared Error (F)</t>
  </si>
  <si>
    <t>Relative Error % (G)</t>
  </si>
  <si>
    <t>Abs, Perc, Error % (H)</t>
  </si>
  <si>
    <t>51,1</t>
  </si>
  <si>
    <t>52,9</t>
  </si>
  <si>
    <t>48,8</t>
  </si>
  <si>
    <t>48,1</t>
  </si>
  <si>
    <t>49,7</t>
  </si>
  <si>
    <t>47,5</t>
  </si>
  <si>
    <t>51,2</t>
  </si>
  <si>
    <t>53,1</t>
  </si>
  <si>
    <t>54,4</t>
  </si>
  <si>
    <t>53,3</t>
  </si>
  <si>
    <t>46,5</t>
  </si>
  <si>
    <t>52,1</t>
  </si>
  <si>
    <t>46,8</t>
  </si>
  <si>
    <t>47,7</t>
  </si>
  <si>
    <t>45,4</t>
  </si>
  <si>
    <t>47,1</t>
  </si>
  <si>
    <t>51,8</t>
  </si>
  <si>
    <t>45,8</t>
  </si>
  <si>
    <t xml:space="preserve">fungsi </t>
  </si>
  <si>
    <t xml:space="preserve">nilai </t>
  </si>
  <si>
    <t>ME (Mean Error)</t>
  </si>
  <si>
    <t>MAD (Mean Absolute Deviation)</t>
  </si>
  <si>
    <t>MSE (Mean Squared Error)</t>
  </si>
  <si>
    <t>MPE (Mean Percentage Error)</t>
  </si>
  <si>
    <t>MAPE (Mean Absolute Percentage Error)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</si>
</sst>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47.0</v>
      </c>
      <c r="C2" s="1" t="s">
        <v>8</v>
      </c>
      <c r="D2" s="2">
        <f t="shared" ref="D2:D21" si="1">B2-C2</f>
        <v>-4.1</v>
      </c>
      <c r="E2" s="2">
        <f t="shared" ref="E2:E21" si="2">ABS(D2)</f>
        <v>4.1</v>
      </c>
      <c r="F2" s="2">
        <f t="shared" ref="F2:F21" si="3">D2^2</f>
        <v>16.81</v>
      </c>
      <c r="G2" s="2">
        <f t="shared" ref="G2:G21" si="4">(D2/B2)*100</f>
        <v>-8.723404255</v>
      </c>
      <c r="H2" s="2">
        <f t="shared" ref="H2:H21" si="5">ABS(G2)</f>
        <v>8.723404255</v>
      </c>
    </row>
    <row r="3">
      <c r="A3" s="1">
        <v>2.0</v>
      </c>
      <c r="B3" s="1">
        <v>46.0</v>
      </c>
      <c r="C3" s="1" t="s">
        <v>9</v>
      </c>
      <c r="D3" s="2">
        <f t="shared" si="1"/>
        <v>-6.9</v>
      </c>
      <c r="E3" s="2">
        <f t="shared" si="2"/>
        <v>6.9</v>
      </c>
      <c r="F3" s="2">
        <f t="shared" si="3"/>
        <v>47.61</v>
      </c>
      <c r="G3" s="2">
        <f t="shared" si="4"/>
        <v>-15</v>
      </c>
      <c r="H3" s="2">
        <f t="shared" si="5"/>
        <v>15</v>
      </c>
    </row>
    <row r="4">
      <c r="A4" s="1">
        <v>3.0</v>
      </c>
      <c r="B4" s="1">
        <v>51.0</v>
      </c>
      <c r="C4" s="1" t="s">
        <v>10</v>
      </c>
      <c r="D4" s="2">
        <f t="shared" si="1"/>
        <v>2.2</v>
      </c>
      <c r="E4" s="2">
        <f t="shared" si="2"/>
        <v>2.2</v>
      </c>
      <c r="F4" s="2">
        <f t="shared" si="3"/>
        <v>4.84</v>
      </c>
      <c r="G4" s="2">
        <f t="shared" si="4"/>
        <v>4.31372549</v>
      </c>
      <c r="H4" s="2">
        <f t="shared" si="5"/>
        <v>4.31372549</v>
      </c>
    </row>
    <row r="5">
      <c r="A5" s="1">
        <v>4.0</v>
      </c>
      <c r="B5" s="1">
        <v>44.0</v>
      </c>
      <c r="C5" s="1" t="s">
        <v>11</v>
      </c>
      <c r="D5" s="2">
        <f t="shared" si="1"/>
        <v>-4.1</v>
      </c>
      <c r="E5" s="2">
        <f t="shared" si="2"/>
        <v>4.1</v>
      </c>
      <c r="F5" s="2">
        <f t="shared" si="3"/>
        <v>16.81</v>
      </c>
      <c r="G5" s="2">
        <f t="shared" si="4"/>
        <v>-9.318181818</v>
      </c>
      <c r="H5" s="2">
        <f t="shared" si="5"/>
        <v>9.318181818</v>
      </c>
    </row>
    <row r="6">
      <c r="A6" s="1">
        <v>5.0</v>
      </c>
      <c r="B6" s="1">
        <v>54.0</v>
      </c>
      <c r="C6" s="1" t="s">
        <v>12</v>
      </c>
      <c r="D6" s="2">
        <f t="shared" si="1"/>
        <v>4.3</v>
      </c>
      <c r="E6" s="2">
        <f t="shared" si="2"/>
        <v>4.3</v>
      </c>
      <c r="F6" s="2">
        <f t="shared" si="3"/>
        <v>18.49</v>
      </c>
      <c r="G6" s="2">
        <f t="shared" si="4"/>
        <v>7.962962963</v>
      </c>
      <c r="H6" s="2">
        <f t="shared" si="5"/>
        <v>7.962962963</v>
      </c>
    </row>
    <row r="7">
      <c r="A7" s="1">
        <v>6.0</v>
      </c>
      <c r="B7" s="1">
        <v>47.0</v>
      </c>
      <c r="C7" s="1" t="s">
        <v>13</v>
      </c>
      <c r="D7" s="2">
        <f t="shared" si="1"/>
        <v>-0.5</v>
      </c>
      <c r="E7" s="2">
        <f t="shared" si="2"/>
        <v>0.5</v>
      </c>
      <c r="F7" s="2">
        <f t="shared" si="3"/>
        <v>0.25</v>
      </c>
      <c r="G7" s="2">
        <f t="shared" si="4"/>
        <v>-1.063829787</v>
      </c>
      <c r="H7" s="2">
        <f t="shared" si="5"/>
        <v>1.063829787</v>
      </c>
    </row>
    <row r="8">
      <c r="A8" s="1">
        <v>7.0</v>
      </c>
      <c r="B8" s="1">
        <v>52.0</v>
      </c>
      <c r="C8" s="1" t="s">
        <v>14</v>
      </c>
      <c r="D8" s="2">
        <f t="shared" si="1"/>
        <v>0.8</v>
      </c>
      <c r="E8" s="2">
        <f t="shared" si="2"/>
        <v>0.8</v>
      </c>
      <c r="F8" s="2">
        <f t="shared" si="3"/>
        <v>0.64</v>
      </c>
      <c r="G8" s="2">
        <f t="shared" si="4"/>
        <v>1.538461538</v>
      </c>
      <c r="H8" s="2">
        <f t="shared" si="5"/>
        <v>1.538461538</v>
      </c>
    </row>
    <row r="9">
      <c r="A9" s="1">
        <v>8.0</v>
      </c>
      <c r="B9" s="1">
        <v>45.0</v>
      </c>
      <c r="C9" s="1" t="s">
        <v>15</v>
      </c>
      <c r="D9" s="2">
        <f t="shared" si="1"/>
        <v>-8.1</v>
      </c>
      <c r="E9" s="2">
        <f t="shared" si="2"/>
        <v>8.1</v>
      </c>
      <c r="F9" s="2">
        <f t="shared" si="3"/>
        <v>65.61</v>
      </c>
      <c r="G9" s="2">
        <f t="shared" si="4"/>
        <v>-18</v>
      </c>
      <c r="H9" s="2">
        <f t="shared" si="5"/>
        <v>18</v>
      </c>
    </row>
    <row r="10">
      <c r="A10" s="1">
        <v>9.0</v>
      </c>
      <c r="B10" s="1">
        <v>50.0</v>
      </c>
      <c r="C10" s="1" t="s">
        <v>16</v>
      </c>
      <c r="D10" s="2">
        <f t="shared" si="1"/>
        <v>-4.4</v>
      </c>
      <c r="E10" s="2">
        <f t="shared" si="2"/>
        <v>4.4</v>
      </c>
      <c r="F10" s="2">
        <f t="shared" si="3"/>
        <v>19.36</v>
      </c>
      <c r="G10" s="2">
        <f t="shared" si="4"/>
        <v>-8.8</v>
      </c>
      <c r="H10" s="2">
        <f t="shared" si="5"/>
        <v>8.8</v>
      </c>
    </row>
    <row r="11">
      <c r="A11" s="1">
        <v>10.0</v>
      </c>
      <c r="B11" s="1">
        <v>51.0</v>
      </c>
      <c r="C11" s="1" t="s">
        <v>14</v>
      </c>
      <c r="D11" s="2">
        <f t="shared" si="1"/>
        <v>-0.2</v>
      </c>
      <c r="E11" s="2">
        <f t="shared" si="2"/>
        <v>0.2</v>
      </c>
      <c r="F11" s="2">
        <f t="shared" si="3"/>
        <v>0.04</v>
      </c>
      <c r="G11" s="2">
        <f t="shared" si="4"/>
        <v>-0.3921568627</v>
      </c>
      <c r="H11" s="2">
        <f t="shared" si="5"/>
        <v>0.3921568627</v>
      </c>
    </row>
    <row r="12">
      <c r="A12" s="1">
        <v>11.0</v>
      </c>
      <c r="B12" s="1">
        <v>49.0</v>
      </c>
      <c r="C12" s="1" t="s">
        <v>17</v>
      </c>
      <c r="D12" s="2">
        <f t="shared" si="1"/>
        <v>-4.3</v>
      </c>
      <c r="E12" s="2">
        <f t="shared" si="2"/>
        <v>4.3</v>
      </c>
      <c r="F12" s="2">
        <f t="shared" si="3"/>
        <v>18.49</v>
      </c>
      <c r="G12" s="2">
        <f t="shared" si="4"/>
        <v>-8.775510204</v>
      </c>
      <c r="H12" s="2">
        <f t="shared" si="5"/>
        <v>8.775510204</v>
      </c>
    </row>
    <row r="13">
      <c r="A13" s="1">
        <v>12.0</v>
      </c>
      <c r="B13" s="1">
        <v>41.0</v>
      </c>
      <c r="C13" s="1" t="s">
        <v>18</v>
      </c>
      <c r="D13" s="2">
        <f t="shared" si="1"/>
        <v>-5.5</v>
      </c>
      <c r="E13" s="2">
        <f t="shared" si="2"/>
        <v>5.5</v>
      </c>
      <c r="F13" s="2">
        <f t="shared" si="3"/>
        <v>30.25</v>
      </c>
      <c r="G13" s="2">
        <f t="shared" si="4"/>
        <v>-13.41463415</v>
      </c>
      <c r="H13" s="2">
        <f t="shared" si="5"/>
        <v>13.41463415</v>
      </c>
    </row>
    <row r="14">
      <c r="A14" s="1">
        <v>13.0</v>
      </c>
      <c r="B14" s="1">
        <v>48.0</v>
      </c>
      <c r="C14" s="1" t="s">
        <v>15</v>
      </c>
      <c r="D14" s="2">
        <f t="shared" si="1"/>
        <v>-5.1</v>
      </c>
      <c r="E14" s="2">
        <f t="shared" si="2"/>
        <v>5.1</v>
      </c>
      <c r="F14" s="2">
        <f t="shared" si="3"/>
        <v>26.01</v>
      </c>
      <c r="G14" s="2">
        <f t="shared" si="4"/>
        <v>-10.625</v>
      </c>
      <c r="H14" s="2">
        <f t="shared" si="5"/>
        <v>10.625</v>
      </c>
    </row>
    <row r="15">
      <c r="A15" s="1">
        <v>14.0</v>
      </c>
      <c r="B15" s="1">
        <v>50.0</v>
      </c>
      <c r="C15" s="1" t="s">
        <v>19</v>
      </c>
      <c r="D15" s="2">
        <f t="shared" si="1"/>
        <v>-2.1</v>
      </c>
      <c r="E15" s="2">
        <f t="shared" si="2"/>
        <v>2.1</v>
      </c>
      <c r="F15" s="2">
        <f t="shared" si="3"/>
        <v>4.41</v>
      </c>
      <c r="G15" s="2">
        <f t="shared" si="4"/>
        <v>-4.2</v>
      </c>
      <c r="H15" s="2">
        <f t="shared" si="5"/>
        <v>4.2</v>
      </c>
    </row>
    <row r="16">
      <c r="A16" s="1">
        <v>15.0</v>
      </c>
      <c r="B16" s="1">
        <v>51.0</v>
      </c>
      <c r="C16" s="1" t="s">
        <v>20</v>
      </c>
      <c r="D16" s="2">
        <f t="shared" si="1"/>
        <v>4.2</v>
      </c>
      <c r="E16" s="2">
        <f t="shared" si="2"/>
        <v>4.2</v>
      </c>
      <c r="F16" s="2">
        <f t="shared" si="3"/>
        <v>17.64</v>
      </c>
      <c r="G16" s="2">
        <f t="shared" si="4"/>
        <v>8.235294118</v>
      </c>
      <c r="H16" s="2">
        <f t="shared" si="5"/>
        <v>8.235294118</v>
      </c>
    </row>
    <row r="17">
      <c r="A17" s="1">
        <v>16.0</v>
      </c>
      <c r="B17" s="1">
        <v>55.0</v>
      </c>
      <c r="C17" s="1" t="s">
        <v>21</v>
      </c>
      <c r="D17" s="2">
        <f t="shared" si="1"/>
        <v>7.3</v>
      </c>
      <c r="E17" s="2">
        <f t="shared" si="2"/>
        <v>7.3</v>
      </c>
      <c r="F17" s="2">
        <f t="shared" si="3"/>
        <v>53.29</v>
      </c>
      <c r="G17" s="2">
        <f t="shared" si="4"/>
        <v>13.27272727</v>
      </c>
      <c r="H17" s="2">
        <f t="shared" si="5"/>
        <v>13.27272727</v>
      </c>
    </row>
    <row r="18">
      <c r="A18" s="1">
        <v>17.0</v>
      </c>
      <c r="B18" s="1">
        <v>52.0</v>
      </c>
      <c r="C18" s="1" t="s">
        <v>22</v>
      </c>
      <c r="D18" s="2">
        <f t="shared" si="1"/>
        <v>6.6</v>
      </c>
      <c r="E18" s="2">
        <f t="shared" si="2"/>
        <v>6.6</v>
      </c>
      <c r="F18" s="2">
        <f t="shared" si="3"/>
        <v>43.56</v>
      </c>
      <c r="G18" s="2">
        <f t="shared" si="4"/>
        <v>12.69230769</v>
      </c>
      <c r="H18" s="2">
        <f t="shared" si="5"/>
        <v>12.69230769</v>
      </c>
    </row>
    <row r="19">
      <c r="A19" s="1">
        <v>18.0</v>
      </c>
      <c r="B19" s="1">
        <v>53.0</v>
      </c>
      <c r="C19" s="1" t="s">
        <v>23</v>
      </c>
      <c r="D19" s="2">
        <f t="shared" si="1"/>
        <v>5.9</v>
      </c>
      <c r="E19" s="2">
        <f t="shared" si="2"/>
        <v>5.9</v>
      </c>
      <c r="F19" s="2">
        <f t="shared" si="3"/>
        <v>34.81</v>
      </c>
      <c r="G19" s="2">
        <f t="shared" si="4"/>
        <v>11.13207547</v>
      </c>
      <c r="H19" s="2">
        <f t="shared" si="5"/>
        <v>11.13207547</v>
      </c>
    </row>
    <row r="20">
      <c r="A20" s="1">
        <v>19.0</v>
      </c>
      <c r="B20" s="1">
        <v>48.0</v>
      </c>
      <c r="C20" s="1" t="s">
        <v>24</v>
      </c>
      <c r="D20" s="1">
        <f t="shared" si="1"/>
        <v>-3.8</v>
      </c>
      <c r="E20" s="2">
        <f t="shared" si="2"/>
        <v>3.8</v>
      </c>
      <c r="F20" s="2">
        <f t="shared" si="3"/>
        <v>14.44</v>
      </c>
      <c r="G20" s="2">
        <f t="shared" si="4"/>
        <v>-7.916666667</v>
      </c>
      <c r="H20" s="2">
        <f t="shared" si="5"/>
        <v>7.916666667</v>
      </c>
    </row>
    <row r="21">
      <c r="A21" s="1">
        <v>20.0</v>
      </c>
      <c r="B21" s="1">
        <v>52.0</v>
      </c>
      <c r="C21" s="1" t="s">
        <v>25</v>
      </c>
      <c r="D21" s="2">
        <f t="shared" si="1"/>
        <v>6.2</v>
      </c>
      <c r="E21" s="2">
        <f t="shared" si="2"/>
        <v>6.2</v>
      </c>
      <c r="F21" s="2">
        <f t="shared" si="3"/>
        <v>38.44</v>
      </c>
      <c r="G21" s="2">
        <f t="shared" si="4"/>
        <v>11.92307692</v>
      </c>
      <c r="H21" s="2">
        <f t="shared" si="5"/>
        <v>11.92307692</v>
      </c>
    </row>
    <row r="24">
      <c r="B24" s="1" t="s">
        <v>26</v>
      </c>
      <c r="C24" s="1" t="s">
        <v>27</v>
      </c>
    </row>
    <row r="25">
      <c r="B25" s="3" t="s">
        <v>28</v>
      </c>
      <c r="C25" s="2">
        <f>AVERAGE(D2:D21)</f>
        <v>-0.58</v>
      </c>
    </row>
    <row r="26">
      <c r="B26" s="3" t="s">
        <v>29</v>
      </c>
      <c r="C26" s="2">
        <f>AVERAGE(E2:E21)</f>
        <v>4.33</v>
      </c>
    </row>
    <row r="27">
      <c r="B27" s="3" t="s">
        <v>30</v>
      </c>
      <c r="C27" s="2">
        <f>AVERAGE(F2:F21)</f>
        <v>23.59</v>
      </c>
    </row>
    <row r="28">
      <c r="B28" s="3" t="s">
        <v>31</v>
      </c>
      <c r="C28" s="2">
        <f>AVERAGE(G2:G21)</f>
        <v>-1.757937614</v>
      </c>
    </row>
    <row r="29">
      <c r="B29" s="3" t="s">
        <v>32</v>
      </c>
      <c r="C29" s="2">
        <f>AVERAGE(H2:H21)</f>
        <v>8.86500076</v>
      </c>
    </row>
  </sheetData>
  <drawing r:id="rId1"/>
</worksheet>
</file>